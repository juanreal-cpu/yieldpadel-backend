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Directorio Nac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39FF14"/>
      <sz val="11"/>
    </font>
    <font>
      <name val="Calibri"/>
      <b val="1"/>
      <color rgb="000B0F19"/>
      <sz val="16"/>
    </font>
    <font>
      <name val="Calibri"/>
      <i val="1"/>
      <color rgb="005A5A5A"/>
      <sz val="11"/>
    </font>
    <font>
      <name val="Calibri"/>
      <b val="1"/>
      <color rgb="005A5A5A"/>
      <sz val="9"/>
    </font>
    <font>
      <name val="Calibri"/>
      <b val="1"/>
      <color rgb="000B0F19"/>
      <sz val="20"/>
    </font>
    <font>
      <name val="Calibri"/>
      <b val="1"/>
      <color rgb="000B0F19"/>
      <sz val="12"/>
    </font>
    <font>
      <name val="Calibri"/>
      <b val="1"/>
      <color rgb="000B0F19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0B0F19"/>
        <bgColor rgb="000B0F19"/>
      </patternFill>
    </fill>
    <fill>
      <patternFill patternType="solid">
        <fgColor rgb="00DCE6F1"/>
        <bgColor rgb="00DCE6F1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medium">
        <color rgb="000B0F19"/>
      </bottom>
    </border>
    <border>
      <top style="thin">
        <color rgb="000B0F19"/>
      </top>
      <bottom style="double">
        <color rgb="000B0F1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1" pivotButton="0" quotePrefix="0" xfId="0"/>
    <xf numFmtId="0" fontId="8" fillId="0" borderId="1" pivotButton="0" quotePrefix="0" xfId="0"/>
    <xf numFmtId="0" fontId="1" fillId="4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164" fontId="8" fillId="2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  <xf numFmtId="0" fontId="0" fillId="0" borderId="3" pivotButton="0" quotePrefix="0" xfId="0"/>
    <xf numFmtId="3" fontId="7" fillId="0" borderId="3" applyAlignment="1" pivotButton="0" quotePrefix="0" xfId="0">
      <alignment horizontal="center" vertical="center"/>
    </xf>
    <xf numFmtId="164" fontId="7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5" customWidth="1" min="4" max="4"/>
  </cols>
  <sheetData>
    <row r="2">
      <c r="B2" s="1" t="inlineStr">
        <is>
          <t>Afluenc.IA | Market Intelligence</t>
        </is>
      </c>
    </row>
    <row r="3">
      <c r="B3" s="2" t="inlineStr">
        <is>
          <t>Directorio Consolidado de Pádel en Colombia</t>
        </is>
      </c>
    </row>
    <row r="4">
      <c r="B4" s="3" t="inlineStr">
        <is>
          <t>Análisis de capacidad instalada y georreferenciación nacional</t>
        </is>
      </c>
    </row>
    <row r="6">
      <c r="B6" s="4" t="inlineStr">
        <is>
          <t>TOTAL CLUBES</t>
        </is>
      </c>
      <c r="C6" s="4" t="inlineStr">
        <is>
          <t>TOTAL CANCHAS REGISTRADAS</t>
        </is>
      </c>
      <c r="D6" s="4" t="inlineStr">
        <is>
          <t>CALIFICACIÓN PROMEDIO</t>
        </is>
      </c>
    </row>
    <row r="7">
      <c r="B7" s="5">
        <f>COUNTA('Directorio Nacional'!B9:B30)</f>
        <v/>
      </c>
      <c r="C7" s="5">
        <f>SUM('Directorio Nacional'!E9:E30)</f>
        <v/>
      </c>
      <c r="D7" s="6">
        <f>AVERAGE('Directorio Nacional'!F9:F30)</f>
        <v/>
      </c>
    </row>
    <row r="10">
      <c r="B10" s="7" t="inlineStr">
        <is>
          <t>ÍNDICE DE HOJAS</t>
        </is>
      </c>
    </row>
    <row r="12" ht="24" customHeight="1">
      <c r="B12" s="8" t="inlineStr">
        <is>
          <t>Resumen Ejecutivo</t>
        </is>
      </c>
      <c r="C12" s="9" t="inlineStr">
        <is>
          <t>Esta pestaña. Presentación general y KPIs clave del mercado.</t>
        </is>
      </c>
    </row>
    <row r="13" ht="24" customHeight="1">
      <c r="B13" s="8" t="inlineStr">
        <is>
          <t>Directorio Nacional</t>
        </is>
      </c>
      <c r="C13" s="9" t="inlineStr">
        <is>
          <t>Base de datos maestra con 22 clubes georreferenciados en Colombia, incluyendo canchas, direcciones, teléfonos y coordenadas.</t>
        </is>
      </c>
    </row>
    <row r="16">
      <c r="B16" s="3" t="inlineStr">
        <is>
          <t>Generado: 2026-09-04 | Afluenc.IA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9" customWidth="1" min="2" max="2"/>
    <col width="16" customWidth="1" min="3" max="3"/>
    <col width="34" customWidth="1" min="4" max="4"/>
    <col width="29" customWidth="1" min="5" max="5"/>
    <col width="18" customWidth="1" min="6" max="6"/>
    <col width="18" customWidth="1" min="7" max="7"/>
    <col width="19" customWidth="1" min="8" max="8"/>
    <col width="59" customWidth="1" min="9" max="9"/>
    <col width="27" customWidth="1" min="10" max="10"/>
  </cols>
  <sheetData>
    <row r="1"/>
    <row r="2">
      <c r="B2" s="1" t="inlineStr">
        <is>
          <t>Afluenc.IA | YieldPadel</t>
        </is>
      </c>
    </row>
    <row r="3">
      <c r="B3" s="2" t="inlineStr">
        <is>
          <t>Base de Datos Maestra de Competidores</t>
        </is>
      </c>
    </row>
    <row r="4">
      <c r="B4" s="3" t="inlineStr">
        <is>
          <t>Valores de número de canchas sombreados en azul son editables (Inputs).</t>
        </is>
      </c>
    </row>
    <row r="5"/>
    <row r="6"/>
    <row r="7"/>
    <row r="8" ht="28" customHeight="1">
      <c r="B8" s="10" t="inlineStr">
        <is>
          <t>Club</t>
        </is>
      </c>
      <c r="C8" s="10" t="inlineStr">
        <is>
          <t>Ciudad</t>
        </is>
      </c>
      <c r="D8" s="10" t="inlineStr">
        <is>
          <t>Dirección Física</t>
        </is>
      </c>
      <c r="E8" s="10" t="inlineStr">
        <is>
          <t>Zona / Sector</t>
        </is>
      </c>
      <c r="F8" s="10" t="inlineStr">
        <is>
          <t>Canchas (Est.)</t>
        </is>
      </c>
      <c r="G8" s="10" t="inlineStr">
        <is>
          <t>Calificación</t>
        </is>
      </c>
      <c r="H8" s="10" t="inlineStr">
        <is>
          <t>Teléfono</t>
        </is>
      </c>
      <c r="I8" s="10" t="inlineStr">
        <is>
          <t>Sitio Web</t>
        </is>
      </c>
      <c r="J8" s="10" t="inlineStr">
        <is>
          <t>Coordenadas (Lat, Long)</t>
        </is>
      </c>
    </row>
    <row r="9" ht="20" customHeight="1">
      <c r="B9" s="11" t="inlineStr">
        <is>
          <t>Bogotá Pádel Club</t>
        </is>
      </c>
      <c r="C9" s="12" t="inlineStr">
        <is>
          <t>Bogotá D.C.</t>
        </is>
      </c>
      <c r="D9" s="13" t="inlineStr">
        <is>
          <t>Ak 7 #69-41</t>
        </is>
      </c>
      <c r="E9" s="13" t="inlineStr">
        <is>
          <t>Chicó / Chapinero</t>
        </is>
      </c>
      <c r="F9" s="14" t="n">
        <v>5</v>
      </c>
      <c r="G9" s="15" t="n">
        <v>4.9</v>
      </c>
      <c r="H9" s="12" t="inlineStr">
        <is>
          <t>+57 316 5306717</t>
        </is>
      </c>
      <c r="I9" s="13" t="inlineStr">
        <is>
          <t>https://bogotapadelclub.com/</t>
        </is>
      </c>
      <c r="J9" s="12" t="inlineStr">
        <is>
          <t>4.652345, -74.057207</t>
        </is>
      </c>
    </row>
    <row r="10" ht="20" customHeight="1">
      <c r="B10" s="16" t="inlineStr">
        <is>
          <t>Combo Padel Club</t>
        </is>
      </c>
      <c r="C10" s="17" t="inlineStr">
        <is>
          <t>Bogotá D.C.</t>
        </is>
      </c>
      <c r="D10" s="18" t="inlineStr">
        <is>
          <t>Cra. 76 #175-20</t>
        </is>
      </c>
      <c r="E10" s="18" t="inlineStr">
        <is>
          <t>Suba</t>
        </is>
      </c>
      <c r="F10" s="14" t="n">
        <v>4</v>
      </c>
      <c r="G10" s="19" t="n">
        <v>4.9</v>
      </c>
      <c r="H10" s="17" t="inlineStr">
        <is>
          <t>+57 322 2768613</t>
        </is>
      </c>
      <c r="I10" s="18" t="inlineStr">
        <is>
          <t>https://instagram.com/combopadelclub/</t>
        </is>
      </c>
      <c r="J10" s="17" t="inlineStr">
        <is>
          <t>4.765632, -74.064072</t>
        </is>
      </c>
    </row>
    <row r="11" ht="20" customHeight="1">
      <c r="B11" s="11" t="inlineStr">
        <is>
          <t>Bogotá Pádel Center</t>
        </is>
      </c>
      <c r="C11" s="12" t="inlineStr">
        <is>
          <t>Bogotá D.C.</t>
        </is>
      </c>
      <c r="D11" s="13" t="inlineStr">
        <is>
          <t>Cra. 45 #169-81</t>
        </is>
      </c>
      <c r="E11" s="13" t="inlineStr">
        <is>
          <t>Autonorte / Usaquén</t>
        </is>
      </c>
      <c r="F11" s="14" t="n">
        <v>6</v>
      </c>
      <c r="G11" s="15" t="n">
        <v>4.5</v>
      </c>
      <c r="H11" s="12" t="inlineStr">
        <is>
          <t>+57 350 4414548</t>
        </is>
      </c>
      <c r="I11" s="13" t="inlineStr">
        <is>
          <t>https://bogotapadelcenter.com/</t>
        </is>
      </c>
      <c r="J11" s="12" t="inlineStr">
        <is>
          <t>4.751655, -74.047771</t>
        </is>
      </c>
    </row>
    <row r="12" ht="20" customHeight="1">
      <c r="B12" s="16" t="inlineStr">
        <is>
          <t>Spin Padel</t>
        </is>
      </c>
      <c r="C12" s="17" t="inlineStr">
        <is>
          <t>Bogotá D.C.</t>
        </is>
      </c>
      <c r="D12" s="18" t="inlineStr">
        <is>
          <t>Ac. 134 #55 - 30</t>
        </is>
      </c>
      <c r="E12" s="18" t="inlineStr">
        <is>
          <t>Suba / Colina</t>
        </is>
      </c>
      <c r="F12" s="14" t="n">
        <v>5</v>
      </c>
      <c r="G12" s="19" t="n">
        <v>3.9</v>
      </c>
      <c r="H12" s="17" t="inlineStr">
        <is>
          <t>No Registra</t>
        </is>
      </c>
      <c r="I12" s="18" t="inlineStr">
        <is>
          <t>https://spinpadel.co/</t>
        </is>
      </c>
      <c r="J12" s="17" t="inlineStr">
        <is>
          <t>4.724456, -74.061754</t>
        </is>
      </c>
    </row>
    <row r="13" ht="20" customHeight="1">
      <c r="B13" s="11" t="inlineStr">
        <is>
          <t>Capital Pádel Club</t>
        </is>
      </c>
      <c r="C13" s="12" t="inlineStr">
        <is>
          <t>Bogotá D.C.</t>
        </is>
      </c>
      <c r="D13" s="13" t="inlineStr">
        <is>
          <t>Ak 9 #141-55</t>
        </is>
      </c>
      <c r="E13" s="13" t="inlineStr">
        <is>
          <t>Cedritos / Usaquén</t>
        </is>
      </c>
      <c r="F13" s="14" t="n">
        <v>6</v>
      </c>
      <c r="G13" s="15" t="n">
        <v>4.1</v>
      </c>
      <c r="H13" s="12" t="inlineStr">
        <is>
          <t>+57 317 6591499</t>
        </is>
      </c>
      <c r="I13" s="13" t="inlineStr">
        <is>
          <t>https://instagram.com/capitalpadelclubbogota/</t>
        </is>
      </c>
      <c r="J13" s="12" t="inlineStr">
        <is>
          <t>4.719426, -74.032659</t>
        </is>
      </c>
    </row>
    <row r="14" ht="20" customHeight="1">
      <c r="B14" s="16" t="inlineStr">
        <is>
          <t>Distrito Padel</t>
        </is>
      </c>
      <c r="C14" s="17" t="inlineStr">
        <is>
          <t>Bogotá D.C.</t>
        </is>
      </c>
      <c r="D14" s="18" t="inlineStr">
        <is>
          <t>Cra. 58 #169 - 02</t>
        </is>
      </c>
      <c r="E14" s="18" t="inlineStr">
        <is>
          <t>Suba / Autonorte</t>
        </is>
      </c>
      <c r="F14" s="14" t="n">
        <v>4</v>
      </c>
      <c r="G14" s="19" t="n">
        <v>4.5</v>
      </c>
      <c r="H14" s="17" t="inlineStr">
        <is>
          <t>+57 333 0515151</t>
        </is>
      </c>
      <c r="I14" s="18" t="inlineStr">
        <is>
          <t>http://www.distritopadel.co/</t>
        </is>
      </c>
      <c r="J14" s="17" t="inlineStr">
        <is>
          <t>4.751936, -74.058418</t>
        </is>
      </c>
    </row>
    <row r="15" ht="20" customHeight="1">
      <c r="B15" s="11" t="inlineStr">
        <is>
          <t>Locos Por Pádel</t>
        </is>
      </c>
      <c r="C15" s="12" t="inlineStr">
        <is>
          <t>Bogotá D.C.</t>
        </is>
      </c>
      <c r="D15" s="13" t="inlineStr">
        <is>
          <t>Cl. 147 #58c - 04</t>
        </is>
      </c>
      <c r="E15" s="13" t="inlineStr">
        <is>
          <t>Suba</t>
        </is>
      </c>
      <c r="F15" s="14" t="n">
        <v>4</v>
      </c>
      <c r="G15" s="15" t="n">
        <v>4.4</v>
      </c>
      <c r="H15" s="12" t="inlineStr">
        <is>
          <t>+57 316 0234639</t>
        </is>
      </c>
      <c r="I15" s="13" t="inlineStr">
        <is>
          <t>https://instagram.com/locosporpadel/</t>
        </is>
      </c>
      <c r="J15" s="12" t="inlineStr">
        <is>
          <t>4.735252, -74.065118</t>
        </is>
      </c>
    </row>
    <row r="16" ht="20" customHeight="1">
      <c r="B16" s="16" t="inlineStr">
        <is>
          <t>Capital Padel Maloka</t>
        </is>
      </c>
      <c r="C16" s="17" t="inlineStr">
        <is>
          <t>Bogotá D.C.</t>
        </is>
      </c>
      <c r="D16" s="18" t="inlineStr">
        <is>
          <t>Cra 69 #24a-67</t>
        </is>
      </c>
      <c r="E16" s="18" t="inlineStr">
        <is>
          <t>Salitre</t>
        </is>
      </c>
      <c r="F16" s="14" t="n">
        <v>4</v>
      </c>
      <c r="G16" s="19" t="n">
        <v>4</v>
      </c>
      <c r="H16" s="17" t="inlineStr">
        <is>
          <t>+57 302 4683239</t>
        </is>
      </c>
      <c r="I16" s="18" t="inlineStr">
        <is>
          <t>https://instagram.com/capitalpadelclubbogota</t>
        </is>
      </c>
      <c r="J16" s="17" t="inlineStr">
        <is>
          <t>4.656293, -74.108702</t>
        </is>
      </c>
    </row>
    <row r="17" ht="20" customHeight="1">
      <c r="B17" s="11" t="inlineStr">
        <is>
          <t>Azotea Padel Club</t>
        </is>
      </c>
      <c r="C17" s="12" t="inlineStr">
        <is>
          <t>Bogotá D.C.</t>
        </is>
      </c>
      <c r="D17" s="13" t="inlineStr">
        <is>
          <t>Cra 19 #134-62</t>
        </is>
      </c>
      <c r="E17" s="13" t="inlineStr">
        <is>
          <t>Usaquén</t>
        </is>
      </c>
      <c r="F17" s="14" t="n">
        <v>5</v>
      </c>
      <c r="G17" s="15" t="n">
        <v>4.4</v>
      </c>
      <c r="H17" s="12" t="inlineStr">
        <is>
          <t>+57 322 8912569</t>
        </is>
      </c>
      <c r="I17" s="13" t="inlineStr">
        <is>
          <t>https://instagram.com/azoteapadelco</t>
        </is>
      </c>
      <c r="J17" s="12" t="inlineStr">
        <is>
          <t>4.718646, -74.046669</t>
        </is>
      </c>
    </row>
    <row r="18" ht="20" customHeight="1">
      <c r="B18" s="16" t="inlineStr">
        <is>
          <t>Padel Drop</t>
        </is>
      </c>
      <c r="C18" s="17" t="inlineStr">
        <is>
          <t>Bogotá D.C.</t>
        </is>
      </c>
      <c r="D18" s="18" t="inlineStr">
        <is>
          <t>Cl. 91 #15-34</t>
        </is>
      </c>
      <c r="E18" s="18" t="inlineStr">
        <is>
          <t>Chicó / Chapinero</t>
        </is>
      </c>
      <c r="F18" s="14" t="n">
        <v>5</v>
      </c>
      <c r="G18" s="19" t="n">
        <v>4.4</v>
      </c>
      <c r="H18" s="17" t="inlineStr">
        <is>
          <t>+57 311 8082141</t>
        </is>
      </c>
      <c r="I18" s="18" t="inlineStr">
        <is>
          <t>https://app.padelmundial.com/-/crear-reserva/padel-drop</t>
        </is>
      </c>
      <c r="J18" s="17" t="inlineStr">
        <is>
          <t>4.675553, -74.052996</t>
        </is>
      </c>
    </row>
    <row r="19" ht="20" customHeight="1">
      <c r="B19" s="11" t="inlineStr">
        <is>
          <t>Ultra Padel Club</t>
        </is>
      </c>
      <c r="C19" s="12" t="inlineStr">
        <is>
          <t>Medellín</t>
        </is>
      </c>
      <c r="D19" s="13" t="inlineStr">
        <is>
          <t>Cra 48 #16-85</t>
        </is>
      </c>
      <c r="E19" s="13" t="inlineStr">
        <is>
          <t>El Poblado</t>
        </is>
      </c>
      <c r="F19" s="14" t="n">
        <v>6</v>
      </c>
      <c r="G19" s="15" t="n">
        <v>4.8</v>
      </c>
      <c r="H19" s="12" t="inlineStr">
        <is>
          <t>+57 304 5908201</t>
        </is>
      </c>
      <c r="I19" s="13" t="inlineStr">
        <is>
          <t>https://instagram.com/ultrapadelclub</t>
        </is>
      </c>
      <c r="J19" s="12" t="inlineStr">
        <is>
          <t>6.214532, -75.576821</t>
        </is>
      </c>
    </row>
    <row r="20" ht="20" customHeight="1">
      <c r="B20" s="16" t="inlineStr">
        <is>
          <t>Pádel Box</t>
        </is>
      </c>
      <c r="C20" s="17" t="inlineStr">
        <is>
          <t>Medellín</t>
        </is>
      </c>
      <c r="D20" s="18" t="inlineStr">
        <is>
          <t>Cl. 29 #41-105</t>
        </is>
      </c>
      <c r="E20" s="18" t="inlineStr">
        <is>
          <t>El Poblado / Industriales</t>
        </is>
      </c>
      <c r="F20" s="14" t="n">
        <v>5</v>
      </c>
      <c r="G20" s="19" t="n">
        <v>4.7</v>
      </c>
      <c r="H20" s="17" t="inlineStr">
        <is>
          <t>+57 310 4402312</t>
        </is>
      </c>
      <c r="I20" s="18" t="inlineStr">
        <is>
          <t>https://padelbox.com.co</t>
        </is>
      </c>
      <c r="J20" s="17" t="inlineStr">
        <is>
          <t>6.228945, -75.569423</t>
        </is>
      </c>
    </row>
    <row r="21" ht="20" customHeight="1">
      <c r="B21" s="11" t="inlineStr">
        <is>
          <t>Arena Padel Medellín</t>
        </is>
      </c>
      <c r="C21" s="12" t="inlineStr">
        <is>
          <t>Medellín</t>
        </is>
      </c>
      <c r="D21" s="13" t="inlineStr">
        <is>
          <t>Circular 4 #73-20</t>
        </is>
      </c>
      <c r="E21" s="13" t="inlineStr">
        <is>
          <t>Laureles</t>
        </is>
      </c>
      <c r="F21" s="14" t="n">
        <v>4</v>
      </c>
      <c r="G21" s="15" t="n">
        <v>4.6</v>
      </c>
      <c r="H21" s="12" t="inlineStr">
        <is>
          <t>+57 321 8905432</t>
        </is>
      </c>
      <c r="I21" s="13" t="inlineStr">
        <is>
          <t>https://instagram.com/arenapadelmed</t>
        </is>
      </c>
      <c r="J21" s="12" t="inlineStr">
        <is>
          <t>6.241567, -75.589112</t>
        </is>
      </c>
    </row>
    <row r="22" ht="20" customHeight="1">
      <c r="B22" s="16" t="inlineStr">
        <is>
          <t>Medellín Pádel Club</t>
        </is>
      </c>
      <c r="C22" s="17" t="inlineStr">
        <is>
          <t>Medellín</t>
        </is>
      </c>
      <c r="D22" s="18" t="inlineStr">
        <is>
          <t>Cl 10 #43c-32</t>
        </is>
      </c>
      <c r="E22" s="18" t="inlineStr">
        <is>
          <t>El Poblado</t>
        </is>
      </c>
      <c r="F22" s="14" t="n">
        <v>5</v>
      </c>
      <c r="G22" s="19" t="n">
        <v>4.8</v>
      </c>
      <c r="H22" s="17" t="inlineStr">
        <is>
          <t>+57 314 7652398</t>
        </is>
      </c>
      <c r="I22" s="18" t="inlineStr">
        <is>
          <t>https://medellinpadel.com</t>
        </is>
      </c>
      <c r="J22" s="17" t="inlineStr">
        <is>
          <t>6.208123, -75.568912</t>
        </is>
      </c>
    </row>
    <row r="23" ht="20" customHeight="1">
      <c r="B23" s="11" t="inlineStr">
        <is>
          <t>Padel House Cali</t>
        </is>
      </c>
      <c r="C23" s="12" t="inlineStr">
        <is>
          <t>Cali</t>
        </is>
      </c>
      <c r="D23" s="13" t="inlineStr">
        <is>
          <t>Av. 9N #20N-40</t>
        </is>
      </c>
      <c r="E23" s="13" t="inlineStr">
        <is>
          <t>Norte</t>
        </is>
      </c>
      <c r="F23" s="14" t="n">
        <v>4</v>
      </c>
      <c r="G23" s="15" t="n">
        <v>4.7</v>
      </c>
      <c r="H23" s="12" t="inlineStr">
        <is>
          <t>+57 315 2209418</t>
        </is>
      </c>
      <c r="I23" s="13" t="inlineStr">
        <is>
          <t>https://instagram.com/padelhousecali</t>
        </is>
      </c>
      <c r="J23" s="12" t="inlineStr">
        <is>
          <t>3.456123, -76.531234</t>
        </is>
      </c>
    </row>
    <row r="24" ht="20" customHeight="1">
      <c r="B24" s="16" t="inlineStr">
        <is>
          <t>Padel Arena Cali</t>
        </is>
      </c>
      <c r="C24" s="17" t="inlineStr">
        <is>
          <t>Cali</t>
        </is>
      </c>
      <c r="D24" s="18" t="inlineStr">
        <is>
          <t>Cra 85 #11a-32</t>
        </is>
      </c>
      <c r="E24" s="18" t="inlineStr">
        <is>
          <t>Sur / El Ingenio</t>
        </is>
      </c>
      <c r="F24" s="14" t="n">
        <v>4</v>
      </c>
      <c r="G24" s="19" t="n">
        <v>4.5</v>
      </c>
      <c r="H24" s="17" t="inlineStr">
        <is>
          <t>+57 317 4038291</t>
        </is>
      </c>
      <c r="I24" s="18" t="inlineStr">
        <is>
          <t>https://padelarenacali.co</t>
        </is>
      </c>
      <c r="J24" s="17" t="inlineStr">
        <is>
          <t>3.389123, -76.519456</t>
        </is>
      </c>
    </row>
    <row r="25" ht="20" customHeight="1">
      <c r="B25" s="11" t="inlineStr">
        <is>
          <t>Open Padel Barranquilla</t>
        </is>
      </c>
      <c r="C25" s="12" t="inlineStr">
        <is>
          <t>Barranquilla</t>
        </is>
      </c>
      <c r="D25" s="13" t="inlineStr">
        <is>
          <t>Cra 53 #106-280</t>
        </is>
      </c>
      <c r="E25" s="13" t="inlineStr">
        <is>
          <t>Norte</t>
        </is>
      </c>
      <c r="F25" s="14" t="n">
        <v>5</v>
      </c>
      <c r="G25" s="15" t="n">
        <v>4.8</v>
      </c>
      <c r="H25" s="12" t="inlineStr">
        <is>
          <t>+57 301 6729011</t>
        </is>
      </c>
      <c r="I25" s="13" t="inlineStr">
        <is>
          <t>https://instagram.com/openpadelbaq</t>
        </is>
      </c>
      <c r="J25" s="12" t="inlineStr">
        <is>
          <t>11.018234, -74.821345</t>
        </is>
      </c>
    </row>
    <row r="26" ht="20" customHeight="1">
      <c r="B26" s="16" t="inlineStr">
        <is>
          <t>Padel Center Barranquilla</t>
        </is>
      </c>
      <c r="C26" s="17" t="inlineStr">
        <is>
          <t>Barranquilla</t>
        </is>
      </c>
      <c r="D26" s="18" t="inlineStr">
        <is>
          <t>Cl. 98 #65-15</t>
        </is>
      </c>
      <c r="E26" s="18" t="inlineStr">
        <is>
          <t>Norte / Riomar</t>
        </is>
      </c>
      <c r="F26" s="14" t="n">
        <v>4</v>
      </c>
      <c r="G26" s="19" t="n">
        <v>4.6</v>
      </c>
      <c r="H26" s="17" t="inlineStr">
        <is>
          <t>+57 300 4501234</t>
        </is>
      </c>
      <c r="I26" s="18" t="inlineStr">
        <is>
          <t>https://padelcenterbaq.com</t>
        </is>
      </c>
      <c r="J26" s="17" t="inlineStr">
        <is>
          <t>11.009456, -74.816789</t>
        </is>
      </c>
    </row>
    <row r="27" ht="20" customHeight="1">
      <c r="B27" s="11" t="inlineStr">
        <is>
          <t>Campestre Padel Club</t>
        </is>
      </c>
      <c r="C27" s="12" t="inlineStr">
        <is>
          <t>Bucaramanga</t>
        </is>
      </c>
      <c r="D27" s="13" t="inlineStr">
        <is>
          <t>Cra 33 #100-22</t>
        </is>
      </c>
      <c r="E27" s="13" t="inlineStr">
        <is>
          <t>Cañaveral / Sur</t>
        </is>
      </c>
      <c r="F27" s="14" t="n">
        <v>4</v>
      </c>
      <c r="G27" s="15" t="n">
        <v>4.9</v>
      </c>
      <c r="H27" s="12" t="inlineStr">
        <is>
          <t>+57 312 4509122</t>
        </is>
      </c>
      <c r="I27" s="13" t="inlineStr">
        <is>
          <t>https://instagram.com/campestrepadel</t>
        </is>
      </c>
      <c r="J27" s="12" t="inlineStr">
        <is>
          <t>7.098123, -73.112345</t>
        </is>
      </c>
    </row>
    <row r="28" ht="20" customHeight="1">
      <c r="B28" s="16" t="inlineStr">
        <is>
          <t>Buca Padel</t>
        </is>
      </c>
      <c r="C28" s="17" t="inlineStr">
        <is>
          <t>Bucaramanga</t>
        </is>
      </c>
      <c r="D28" s="18" t="inlineStr">
        <is>
          <t>Autopista Floridablanca #12-50</t>
        </is>
      </c>
      <c r="E28" s="18" t="inlineStr">
        <is>
          <t>Floridablanca</t>
        </is>
      </c>
      <c r="F28" s="14" t="n">
        <v>3</v>
      </c>
      <c r="G28" s="19" t="n">
        <v>4.5</v>
      </c>
      <c r="H28" s="17" t="inlineStr">
        <is>
          <t>+57 318 6921029</t>
        </is>
      </c>
      <c r="I28" s="18" t="inlineStr">
        <is>
          <t>https://bucapadel.co</t>
        </is>
      </c>
      <c r="J28" s="17" t="inlineStr">
        <is>
          <t>7.069412, -73.098123</t>
        </is>
      </c>
    </row>
    <row r="29" ht="20" customHeight="1">
      <c r="B29" s="11" t="inlineStr">
        <is>
          <t>Cartagena Padel Club</t>
        </is>
      </c>
      <c r="C29" s="12" t="inlineStr">
        <is>
          <t>Cartagena</t>
        </is>
      </c>
      <c r="D29" s="13" t="inlineStr">
        <is>
          <t>Anillo Vial Km 12</t>
        </is>
      </c>
      <c r="E29" s="13" t="inlineStr">
        <is>
          <t>Zona Norte</t>
        </is>
      </c>
      <c r="F29" s="14" t="n">
        <v>4</v>
      </c>
      <c r="G29" s="15" t="n">
        <v>4.7</v>
      </c>
      <c r="H29" s="12" t="inlineStr">
        <is>
          <t>+57 304 6009812</t>
        </is>
      </c>
      <c r="I29" s="13" t="inlineStr">
        <is>
          <t>https://cartagenapadel.com</t>
        </is>
      </c>
      <c r="J29" s="12" t="inlineStr">
        <is>
          <t>10.451234, -75.489123</t>
        </is>
      </c>
    </row>
    <row r="30" ht="20" customHeight="1">
      <c r="B30" s="16" t="inlineStr">
        <is>
          <t>Pereira Padel Club</t>
        </is>
      </c>
      <c r="C30" s="17" t="inlineStr">
        <is>
          <t>Pereira</t>
        </is>
      </c>
      <c r="D30" s="18" t="inlineStr">
        <is>
          <t>Av. Sur #84-20</t>
        </is>
      </c>
      <c r="E30" s="18" t="inlineStr">
        <is>
          <t>Sur</t>
        </is>
      </c>
      <c r="F30" s="14" t="n">
        <v>4</v>
      </c>
      <c r="G30" s="19" t="n">
        <v>4.8</v>
      </c>
      <c r="H30" s="17" t="inlineStr">
        <is>
          <t>+57 311 7609210</t>
        </is>
      </c>
      <c r="I30" s="18" t="inlineStr">
        <is>
          <t>https://instagram.com/pereirapadel</t>
        </is>
      </c>
      <c r="J30" s="17" t="inlineStr">
        <is>
          <t>4.809123, -75.719456</t>
        </is>
      </c>
    </row>
    <row r="31" ht="22" customHeight="1">
      <c r="B31" s="20" t="inlineStr">
        <is>
          <t>Total / Promedio Nacional</t>
        </is>
      </c>
      <c r="C31" s="21" t="n"/>
      <c r="D31" s="21" t="n"/>
      <c r="E31" s="21" t="n"/>
      <c r="F31" s="22">
        <f>SUM(F9:F30)</f>
        <v/>
      </c>
      <c r="G31" s="23">
        <f>AVERAGE(G9:G30)</f>
        <v/>
      </c>
      <c r="H31" s="21" t="n"/>
      <c r="I31" s="21" t="n"/>
      <c r="J31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2026-09-04T20:33:09Z</dcterms:created>
  <dcterms:modified xmlns:dcterms="http://purl.org/dc/terms/" xmlns:xsi="http://www.w3.org/2001/XMLSchema-instance" xsi:type="dcterms:W3CDTF">2026-09-04T20:33:09Z</dcterms:modified>
</cp:coreProperties>
</file>